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Defin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C1121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2" fontId="0" fillId="4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20" customWidth="1" min="8" max="8"/>
    <col width="20" customWidth="1" min="9" max="9"/>
    <col width="28" customWidth="1" min="11" max="11"/>
  </cols>
  <sheetData>
    <row r="1">
      <c r="A1" s="1" t="inlineStr">
        <is>
          <t>Template inicial - Sponsorship / Naming Rights Valuation</t>
        </is>
      </c>
      <c r="K1" s="2" t="inlineStr">
        <is>
          <t>Valor total contrato USD M</t>
        </is>
      </c>
    </row>
    <row r="2">
      <c r="K2" s="3" t="n">
        <v>30</v>
      </c>
    </row>
    <row r="3">
      <c r="A3" s="4" t="inlineStr">
        <is>
          <t>Asset</t>
        </is>
      </c>
      <c r="B3" s="4" t="inlineStr">
        <is>
          <t>Masividad</t>
        </is>
      </c>
      <c r="C3" s="4" t="inlineStr">
        <is>
          <t>Construcción de Marca</t>
        </is>
      </c>
      <c r="D3" s="4" t="inlineStr">
        <is>
          <t>Potencial de Negocio</t>
        </is>
      </c>
      <c r="E3" s="4" t="inlineStr">
        <is>
          <t>Valor Agregado</t>
        </is>
      </c>
      <c r="F3" s="4" t="inlineStr">
        <is>
          <t>Uso Esperado</t>
        </is>
      </c>
      <c r="G3" s="4" t="inlineStr">
        <is>
          <t>Score Final</t>
        </is>
      </c>
      <c r="H3" s="4" t="inlineStr">
        <is>
          <t>Clasificación</t>
        </is>
      </c>
      <c r="I3" s="4" t="inlineStr">
        <is>
          <t>Valor Económico USD M</t>
        </is>
      </c>
    </row>
    <row r="4">
      <c r="A4" s="5" t="inlineStr">
        <is>
          <t>Naming Rights Mercado Livre Arena Pacaembu</t>
        </is>
      </c>
      <c r="B4" s="5" t="n">
        <v>5</v>
      </c>
      <c r="C4" s="5" t="n">
        <v>5</v>
      </c>
      <c r="D4" s="5" t="n">
        <v>4</v>
      </c>
      <c r="E4" s="5" t="n">
        <v>5</v>
      </c>
      <c r="F4" s="5" t="n">
        <v>5</v>
      </c>
      <c r="G4" s="6">
        <f>AVERAGE(B4:F4)</f>
        <v/>
      </c>
      <c r="H4" s="5">
        <f>IF(G4&gt;=4.5,"Core Premium",IF(G4&gt;=3.5,"Strategic Value",IF(G4&gt;=2.5,"Supporting Asset","Low Priority")))</f>
        <v/>
      </c>
      <c r="I4" s="7">
        <f>(G4/SUM($G$4:$G$13))*$K$2</f>
        <v/>
      </c>
    </row>
    <row r="5">
      <c r="A5" s="5" t="inlineStr">
        <is>
          <t>Logo en fachada principal</t>
        </is>
      </c>
      <c r="B5" s="5" t="n">
        <v>5</v>
      </c>
      <c r="C5" s="5" t="n">
        <v>5</v>
      </c>
      <c r="D5" s="5" t="n">
        <v>3</v>
      </c>
      <c r="E5" s="5" t="n">
        <v>4</v>
      </c>
      <c r="F5" s="5" t="n">
        <v>5</v>
      </c>
      <c r="G5" s="6">
        <f>AVERAGE(B5:F5)</f>
        <v/>
      </c>
      <c r="H5" s="5">
        <f>IF(G5&gt;=4.5,"Core Premium",IF(G5&gt;=3.5,"Strategic Value",IF(G5&gt;=2.5,"Supporting Asset","Low Priority")))</f>
        <v/>
      </c>
      <c r="I5" s="7">
        <f>(G5/SUM($G$4:$G$13))*$K$2</f>
        <v/>
      </c>
    </row>
    <row r="6">
      <c r="A6" s="5" t="inlineStr">
        <is>
          <t>Hospitality / palcos premium</t>
        </is>
      </c>
      <c r="B6" s="5" t="n">
        <v>3</v>
      </c>
      <c r="C6" s="5" t="n">
        <v>4</v>
      </c>
      <c r="D6" s="5" t="n">
        <v>5</v>
      </c>
      <c r="E6" s="5" t="n">
        <v>5</v>
      </c>
      <c r="F6" s="5" t="n">
        <v>4</v>
      </c>
      <c r="G6" s="6">
        <f>AVERAGE(B6:F6)</f>
        <v/>
      </c>
      <c r="H6" s="5">
        <f>IF(G6&gt;=4.5,"Core Premium",IF(G6&gt;=3.5,"Strategic Value",IF(G6&gt;=2.5,"Supporting Asset","Low Priority")))</f>
        <v/>
      </c>
      <c r="I6" s="7">
        <f>(G6/SUM($G$4:$G$13))*$K$2</f>
        <v/>
      </c>
    </row>
    <row r="7">
      <c r="A7" s="5" t="inlineStr">
        <is>
          <t>Experiencias para sellers y clientes</t>
        </is>
      </c>
      <c r="B7" s="5" t="n">
        <v>3</v>
      </c>
      <c r="C7" s="5" t="n">
        <v>4</v>
      </c>
      <c r="D7" s="5" t="n">
        <v>5</v>
      </c>
      <c r="E7" s="5" t="n">
        <v>5</v>
      </c>
      <c r="F7" s="5" t="n">
        <v>4</v>
      </c>
      <c r="G7" s="6">
        <f>AVERAGE(B7:F7)</f>
        <v/>
      </c>
      <c r="H7" s="5">
        <f>IF(G7&gt;=4.5,"Core Premium",IF(G7&gt;=3.5,"Strategic Value",IF(G7&gt;=2.5,"Supporting Asset","Low Priority")))</f>
        <v/>
      </c>
      <c r="I7" s="7">
        <f>(G7/SUM($G$4:$G$13))*$K$2</f>
        <v/>
      </c>
    </row>
    <row r="8">
      <c r="A8" s="5" t="inlineStr">
        <is>
          <t>Activaciones en días de evento</t>
        </is>
      </c>
      <c r="B8" s="5" t="n">
        <v>4</v>
      </c>
      <c r="C8" s="5" t="n">
        <v>4</v>
      </c>
      <c r="D8" s="5" t="n">
        <v>5</v>
      </c>
      <c r="E8" s="5" t="n">
        <v>4</v>
      </c>
      <c r="F8" s="5" t="n">
        <v>4</v>
      </c>
      <c r="G8" s="6">
        <f>AVERAGE(B8:F8)</f>
        <v/>
      </c>
      <c r="H8" s="5">
        <f>IF(G8&gt;=4.5,"Core Premium",IF(G8&gt;=3.5,"Strategic Value",IF(G8&gt;=2.5,"Supporting Asset","Low Priority")))</f>
        <v/>
      </c>
      <c r="I8" s="7">
        <f>(G8/SUM($G$4:$G$13))*$K$2</f>
        <v/>
      </c>
    </row>
    <row r="9">
      <c r="A9" s="5" t="inlineStr">
        <is>
          <t>Contenido digital y redes sociales</t>
        </is>
      </c>
      <c r="B9" s="5" t="n">
        <v>4</v>
      </c>
      <c r="C9" s="5" t="n">
        <v>4</v>
      </c>
      <c r="D9" s="5" t="n">
        <v>4</v>
      </c>
      <c r="E9" s="5" t="n">
        <v>3</v>
      </c>
      <c r="F9" s="5" t="n">
        <v>4</v>
      </c>
      <c r="G9" s="6">
        <f>AVERAGE(B9:F9)</f>
        <v/>
      </c>
      <c r="H9" s="5">
        <f>IF(G9&gt;=4.5,"Core Premium",IF(G9&gt;=3.5,"Strategic Value",IF(G9&gt;=2.5,"Supporting Asset","Low Priority")))</f>
        <v/>
      </c>
      <c r="I9" s="7">
        <f>(G9/SUM($G$4:$G$13))*$K$2</f>
        <v/>
      </c>
    </row>
    <row r="10">
      <c r="A10" s="5" t="inlineStr">
        <is>
          <t>Presencia LED / pantallas internas</t>
        </is>
      </c>
      <c r="B10" s="5" t="n">
        <v>4</v>
      </c>
      <c r="C10" s="5" t="n">
        <v>3</v>
      </c>
      <c r="D10" s="5" t="n">
        <v>4</v>
      </c>
      <c r="E10" s="5" t="n">
        <v>3</v>
      </c>
      <c r="F10" s="5" t="n">
        <v>4</v>
      </c>
      <c r="G10" s="6">
        <f>AVERAGE(B10:F10)</f>
        <v/>
      </c>
      <c r="H10" s="5">
        <f>IF(G10&gt;=4.5,"Core Premium",IF(G10&gt;=3.5,"Strategic Value",IF(G10&gt;=2.5,"Supporting Asset","Low Priority")))</f>
        <v/>
      </c>
      <c r="I10" s="7">
        <f>(G10/SUM($G$4:$G$13))*$K$2</f>
        <v/>
      </c>
    </row>
    <row r="11">
      <c r="A11" s="5" t="inlineStr">
        <is>
          <t>Entradas y beneficios comerciales</t>
        </is>
      </c>
      <c r="B11" s="5" t="n">
        <v>3</v>
      </c>
      <c r="C11" s="5" t="n">
        <v>3</v>
      </c>
      <c r="D11" s="5" t="n">
        <v>4</v>
      </c>
      <c r="E11" s="5" t="n">
        <v>4</v>
      </c>
      <c r="F11" s="5" t="n">
        <v>4</v>
      </c>
      <c r="G11" s="6">
        <f>AVERAGE(B11:F11)</f>
        <v/>
      </c>
      <c r="H11" s="5">
        <f>IF(G11&gt;=4.5,"Core Premium",IF(G11&gt;=3.5,"Strategic Value",IF(G11&gt;=2.5,"Supporting Asset","Low Priority")))</f>
        <v/>
      </c>
      <c r="I11" s="7">
        <f>(G11/SUM($G$4:$G$13))*$K$2</f>
        <v/>
      </c>
    </row>
    <row r="12">
      <c r="A12" s="5" t="inlineStr">
        <is>
          <t>Uso de imagen del venue</t>
        </is>
      </c>
      <c r="B12" s="5" t="n">
        <v>3</v>
      </c>
      <c r="C12" s="5" t="n">
        <v>4</v>
      </c>
      <c r="D12" s="5" t="n">
        <v>3</v>
      </c>
      <c r="E12" s="5" t="n">
        <v>4</v>
      </c>
      <c r="F12" s="5" t="n">
        <v>4</v>
      </c>
      <c r="G12" s="6">
        <f>AVERAGE(B12:F12)</f>
        <v/>
      </c>
      <c r="H12" s="5">
        <f>IF(G12&gt;=4.5,"Core Premium",IF(G12&gt;=3.5,"Strategic Value",IF(G12&gt;=2.5,"Supporting Asset","Low Priority")))</f>
        <v/>
      </c>
      <c r="I12" s="7">
        <f>(G12/SUM($G$4:$G$13))*$K$2</f>
        <v/>
      </c>
    </row>
    <row r="13">
      <c r="A13" s="5" t="inlineStr">
        <is>
          <t>Acciones B2B y networking</t>
        </is>
      </c>
      <c r="B13" s="5" t="n">
        <v>2</v>
      </c>
      <c r="C13" s="5" t="n">
        <v>3</v>
      </c>
      <c r="D13" s="5" t="n">
        <v>5</v>
      </c>
      <c r="E13" s="5" t="n">
        <v>4</v>
      </c>
      <c r="F13" s="5" t="n">
        <v>3</v>
      </c>
      <c r="G13" s="6">
        <f>AVERAGE(B13:F13)</f>
        <v/>
      </c>
      <c r="H13" s="5">
        <f>IF(G13&gt;=4.5,"Core Premium",IF(G13&gt;=3.5,"Strategic Value",IF(G13&gt;=2.5,"Supporting Asset","Low Priority")))</f>
        <v/>
      </c>
      <c r="I13" s="7">
        <f>(G13/SUM($G$4:$G$13))*$K$2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8" t="inlineStr">
        <is>
          <t>Variable</t>
        </is>
      </c>
      <c r="B1" s="8" t="inlineStr">
        <is>
          <t>Definición</t>
        </is>
      </c>
    </row>
    <row r="2">
      <c r="A2" s="9" t="inlineStr">
        <is>
          <t>Masividad</t>
        </is>
      </c>
      <c r="B2" s="9" t="inlineStr">
        <is>
          <t>Capacidad del asset para generar alcance amplio, visibilidad sostenida y exposición frecuente.</t>
        </is>
      </c>
    </row>
    <row r="3">
      <c r="A3" s="9" t="inlineStr">
        <is>
          <t>Construcción de Marca</t>
        </is>
      </c>
      <c r="B3" s="9" t="inlineStr">
        <is>
          <t>Capacidad de fortalecer percepción, prestigio, liderazgo y posicionamiento.</t>
        </is>
      </c>
    </row>
    <row r="4">
      <c r="A4" s="9" t="inlineStr">
        <is>
          <t>Potencial de Negocio</t>
        </is>
      </c>
      <c r="B4" s="9" t="inlineStr">
        <is>
          <t>Capacidad de generar ventas, usuarios, transacciones, promociones o leads.</t>
        </is>
      </c>
    </row>
    <row r="5">
      <c r="A5" s="9" t="inlineStr">
        <is>
          <t>Valor Agregado</t>
        </is>
      </c>
      <c r="B5" s="9" t="inlineStr">
        <is>
          <t>Beneficios diferenciales como exclusividad, experiencias premium, contenido único o acceso preferencial.</t>
        </is>
      </c>
    </row>
    <row r="6">
      <c r="A6" s="9" t="inlineStr">
        <is>
          <t>Uso Esperado</t>
        </is>
      </c>
      <c r="B6" s="9" t="inlineStr">
        <is>
          <t>Probabilidad real de uso efectivo por parte de la marca.</t>
        </is>
      </c>
    </row>
    <row r="7">
      <c r="A7" s="9" t="inlineStr">
        <is>
          <t>Escala</t>
        </is>
      </c>
      <c r="B7" s="9" t="inlineStr">
        <is>
          <t>1 = Muy Bajo | 2 = Bajo | 3 = Medio | 4 = Alto | 5 = Muy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2026-04-24T06:41:48Z</dcterms:created>
  <dcterms:modified xmlns:dcterms="http://purl.org/dc/terms/" xmlns:xsi="http://www.w3.org/2001/XMLSchema-instance" xsi:type="dcterms:W3CDTF">2026-04-24T06:41:48Z</dcterms:modified>
</cp:coreProperties>
</file>